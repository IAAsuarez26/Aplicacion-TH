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arez\Documents\P&amp;B\Dirección de S&amp;T\Gestión de Proyectos\Nómina Galac\"/>
    </mc:Choice>
  </mc:AlternateContent>
  <xr:revisionPtr revIDLastSave="0" documentId="13_ncr:1_{3CCF4815-CE06-4F84-A86A-050BECC6DA27}" xr6:coauthVersionLast="47" xr6:coauthVersionMax="47" xr10:uidLastSave="{00000000-0000-0000-0000-000000000000}"/>
  <bookViews>
    <workbookView xWindow="20370" yWindow="-120" windowWidth="21840" windowHeight="13020" xr2:uid="{C8FD98D8-7746-4D07-BDA2-AF66395BFB78}"/>
  </bookViews>
  <sheets>
    <sheet name="TabuladorEmpresas" sheetId="3" r:id="rId1"/>
  </sheets>
  <externalReferences>
    <externalReference r:id="rId2"/>
    <externalReference r:id="rId3"/>
    <externalReference r:id="rId4"/>
  </externalReferences>
  <definedNames>
    <definedName name="_ABR18">#REF!</definedName>
    <definedName name="_AGO18">#REF!</definedName>
    <definedName name="_COLUMNA">#REF!</definedName>
    <definedName name="_CONCEPTO">#REF!</definedName>
    <definedName name="_DIC17">#REF!</definedName>
    <definedName name="_ENE18">#REF!</definedName>
    <definedName name="_FEB18">#REF!</definedName>
    <definedName name="_JUL18">#REF!</definedName>
    <definedName name="_JUN18">#REF!</definedName>
    <definedName name="_MAR18">#REF!</definedName>
    <definedName name="_MAY18">#REF!</definedName>
    <definedName name="_SBM_SEP1">#REF!</definedName>
    <definedName name="_SBM_SEP2">#REF!</definedName>
    <definedName name="a">#REF!</definedName>
    <definedName name="ESCALA">#REF!</definedName>
    <definedName name="Excel_BuiltIn_Print_Area_3">#REF!</definedName>
    <definedName name="Excel_BuiltIn_Print_Area_5">#REF!</definedName>
    <definedName name="Excel_BuiltIn_Print_Titles_1">'[2]Ausentismo 2008'!$1:$5</definedName>
    <definedName name="FRECUENCIA">'[3]Escalas '!$C$4:$C$8</definedName>
    <definedName name="LABPON">#REF!</definedName>
    <definedName name="may">#REF!</definedName>
    <definedName name="PRUEBA">#REF!</definedName>
    <definedName name="SUELDO">#REF!</definedName>
    <definedName name="TP_ED">#REF!</definedName>
    <definedName name="TP_GZDO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8" i="3" l="1"/>
  <c r="J19" i="3"/>
  <c r="J20" i="3"/>
  <c r="J21" i="3"/>
  <c r="J23" i="3"/>
  <c r="J24" i="3"/>
  <c r="J25" i="3"/>
  <c r="J5" i="3"/>
  <c r="J6" i="3"/>
  <c r="J7" i="3"/>
  <c r="J8" i="3"/>
  <c r="J9" i="3"/>
  <c r="J11" i="3"/>
  <c r="J12" i="3"/>
  <c r="J13" i="3"/>
  <c r="J14" i="3"/>
  <c r="J15" i="3"/>
  <c r="J16" i="3"/>
  <c r="J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4" i="3"/>
</calcChain>
</file>

<file path=xl/sharedStrings.xml><?xml version="1.0" encoding="utf-8"?>
<sst xmlns="http://schemas.openxmlformats.org/spreadsheetml/2006/main" count="83" uniqueCount="54">
  <si>
    <t>Banda</t>
  </si>
  <si>
    <t>Cargos</t>
  </si>
  <si>
    <t>Mediana</t>
  </si>
  <si>
    <t>Progresión</t>
  </si>
  <si>
    <t>PB7</t>
  </si>
  <si>
    <t>Directivos</t>
  </si>
  <si>
    <t>LP7</t>
  </si>
  <si>
    <t>Gerentes</t>
  </si>
  <si>
    <t>PB6</t>
  </si>
  <si>
    <t>Directores</t>
  </si>
  <si>
    <t>LP6</t>
  </si>
  <si>
    <t>Coordinadores / Especialistas</t>
  </si>
  <si>
    <t>PB5</t>
  </si>
  <si>
    <t xml:space="preserve">Gerentes </t>
  </si>
  <si>
    <t>LP5</t>
  </si>
  <si>
    <t>Lider Ventas</t>
  </si>
  <si>
    <t>Analistas</t>
  </si>
  <si>
    <t>PB4</t>
  </si>
  <si>
    <t xml:space="preserve">Gerente Jr / Coordinadores </t>
  </si>
  <si>
    <t>LP4</t>
  </si>
  <si>
    <t>Gerente Jr / Coordinadores / Supervisor de Elaboración</t>
  </si>
  <si>
    <t>Asesor</t>
  </si>
  <si>
    <t>Asistentes / Operarios</t>
  </si>
  <si>
    <t>PB3</t>
  </si>
  <si>
    <t>Especialistas / Supervisores / Mecánicos / Analistas de Ventas</t>
  </si>
  <si>
    <t>LP3</t>
  </si>
  <si>
    <t>Especialistas / Supervisores</t>
  </si>
  <si>
    <t>PB2</t>
  </si>
  <si>
    <t>LP2</t>
  </si>
  <si>
    <t>PB1</t>
  </si>
  <si>
    <t>Asistentes / Trainee / Operarios</t>
  </si>
  <si>
    <t>LP1</t>
  </si>
  <si>
    <t>Operarios</t>
  </si>
  <si>
    <t>Pasante</t>
  </si>
  <si>
    <t>Asistentes / Anslistas / Operarios de Elaboración</t>
  </si>
  <si>
    <t>Analista / Ejecutivo/ Coordinador / Especialista</t>
  </si>
  <si>
    <t>Donaciones</t>
  </si>
  <si>
    <t>INCES</t>
  </si>
  <si>
    <t>Empresa</t>
  </si>
  <si>
    <t>002</t>
  </si>
  <si>
    <t>003</t>
  </si>
  <si>
    <t>004</t>
  </si>
  <si>
    <t>VT5</t>
  </si>
  <si>
    <t>VT4</t>
  </si>
  <si>
    <t>VT3</t>
  </si>
  <si>
    <t>VT2</t>
  </si>
  <si>
    <t>VT1</t>
  </si>
  <si>
    <t>PK4</t>
  </si>
  <si>
    <t>PK3</t>
  </si>
  <si>
    <t>PK2</t>
  </si>
  <si>
    <t>PK1</t>
  </si>
  <si>
    <t>PBP</t>
  </si>
  <si>
    <t>PBD</t>
  </si>
  <si>
    <t>PBI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</si>
</sst>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08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1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arez\Documents\P&amp;B\Direcci&#243;n%20de%20S&amp;T\Gesti&#243;n%20de%20Proyectos\N&#243;mina%20Galac\Data%20Albin%20para%20Aplicacion.xlsx" TargetMode="External"/><Relationship Id="rId1" Type="http://schemas.openxmlformats.org/officeDocument/2006/relationships/externalLinkPath" Target="Data%20Albin%20para%20Aplicac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STATUS\Users\Yordis%20Castillo\Documents\Yordis%20Castillo\Indicadores%20de%20Gestion\AUSENTISMO%20A&#241;o%202010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acosta/Desktop/Instrumento%20Evaluaci&#243;n%20Mitad%20de%20A&#241;o%20140525.xlsm" TargetMode="External"/><Relationship Id="rId1" Type="http://schemas.openxmlformats.org/officeDocument/2006/relationships/externalLinkPath" Target="/Users/Cacosta/Desktop/Instrumento%20Evaluaci&#243;n%20Mitad%20de%20A&#241;o%201405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ulador ITM"/>
      <sheetName val="BBDD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sentismo 2008"/>
      <sheetName val="Ausentismo 2009"/>
      <sheetName val="Ausentismo 2010"/>
      <sheetName val="Tablas"/>
    </sheetNames>
    <sheetDataSet>
      <sheetData sheetId="0">
        <row r="5">
          <cell r="B5" t="str">
            <v>Ausentismo Año 2008</v>
          </cell>
        </row>
      </sheetData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ENÚ"/>
      <sheetName val="INSTRUMENTO"/>
      <sheetName val="Hoja4"/>
      <sheetName val="Hoja3"/>
      <sheetName val="Hoja2"/>
      <sheetName val="RESULTADOS"/>
      <sheetName val="Validación de datos"/>
      <sheetName val="Escalas "/>
      <sheetName val="Matriz de Cargos"/>
      <sheetName val="Anexos"/>
      <sheetName val="Hoja1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>
        <row r="4">
          <cell r="C4">
            <v>1</v>
          </cell>
        </row>
        <row r="5">
          <cell r="C5">
            <v>2</v>
          </cell>
        </row>
        <row r="6">
          <cell r="C6">
            <v>3</v>
          </cell>
        </row>
        <row r="7">
          <cell r="C7">
            <v>4</v>
          </cell>
        </row>
        <row r="8">
          <cell r="C8">
            <v>5</v>
          </cell>
        </row>
      </sheetData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9593-9509-4D67-B94E-7171A21D0E90}">
  <dimension ref="B3:J29"/>
  <sheetViews>
    <sheetView tabSelected="1" workbookViewId="0">
      <selection activeCell="C30" sqref="C30"/>
    </sheetView>
  </sheetViews>
  <sheetFormatPr baseColWidth="10" defaultRowHeight="15" x14ac:dyDescent="0.25"/>
  <cols>
    <col min="1" max="1" width="5.28515625" customWidth="1"/>
    <col min="4" max="4" width="56.7109375" bestFit="1" customWidth="1"/>
  </cols>
  <sheetData>
    <row r="3" spans="2:10" x14ac:dyDescent="0.25">
      <c r="B3" s="1" t="s">
        <v>38</v>
      </c>
      <c r="C3" s="1" t="s">
        <v>0</v>
      </c>
      <c r="D3" s="1" t="s">
        <v>1</v>
      </c>
      <c r="E3" s="1">
        <v>0.8</v>
      </c>
      <c r="F3" s="1">
        <v>0.9</v>
      </c>
      <c r="G3" s="2" t="s">
        <v>2</v>
      </c>
      <c r="H3" s="1">
        <v>1.1000000000000001</v>
      </c>
      <c r="I3" s="1">
        <v>1.2</v>
      </c>
      <c r="J3" s="1" t="s">
        <v>3</v>
      </c>
    </row>
    <row r="4" spans="2:10" x14ac:dyDescent="0.25">
      <c r="B4" t="s">
        <v>39</v>
      </c>
      <c r="C4" t="s">
        <v>4</v>
      </c>
      <c r="D4" t="s">
        <v>5</v>
      </c>
      <c r="E4" s="3">
        <f>G4*80/100</f>
        <v>238.87872000000004</v>
      </c>
      <c r="F4" s="3">
        <f>G4*90/100</f>
        <v>268.73856000000001</v>
      </c>
      <c r="G4" s="3">
        <v>298.59840000000003</v>
      </c>
      <c r="H4" s="3">
        <f>G4*110/100</f>
        <v>328.45823999999999</v>
      </c>
      <c r="I4" s="3">
        <f>G4*120/100</f>
        <v>358.31808000000007</v>
      </c>
      <c r="J4" s="4">
        <f>G4/G5-1</f>
        <v>0.19999999999999996</v>
      </c>
    </row>
    <row r="5" spans="2:10" x14ac:dyDescent="0.25">
      <c r="B5" t="s">
        <v>39</v>
      </c>
      <c r="C5" t="s">
        <v>8</v>
      </c>
      <c r="D5" t="s">
        <v>9</v>
      </c>
      <c r="E5" s="3">
        <f t="shared" ref="E5:E29" si="0">G5*80/100</f>
        <v>199.06560000000002</v>
      </c>
      <c r="F5" s="3">
        <f t="shared" ref="F5:F29" si="1">G5*90/100</f>
        <v>223.94880000000001</v>
      </c>
      <c r="G5" s="3">
        <v>248.83200000000002</v>
      </c>
      <c r="H5" s="3">
        <f t="shared" ref="H5:H29" si="2">G5*110/100</f>
        <v>273.71520000000004</v>
      </c>
      <c r="I5" s="3">
        <f t="shared" ref="I5:I29" si="3">G5*120/100</f>
        <v>298.59840000000003</v>
      </c>
      <c r="J5" s="4">
        <f t="shared" ref="J5:J16" si="4">G5/G6-1</f>
        <v>0.19999999999999996</v>
      </c>
    </row>
    <row r="6" spans="2:10" x14ac:dyDescent="0.25">
      <c r="B6" t="s">
        <v>39</v>
      </c>
      <c r="C6" t="s">
        <v>12</v>
      </c>
      <c r="D6" t="s">
        <v>13</v>
      </c>
      <c r="E6" s="3">
        <f t="shared" si="0"/>
        <v>165.88800000000003</v>
      </c>
      <c r="F6" s="3">
        <f t="shared" si="1"/>
        <v>186.62400000000002</v>
      </c>
      <c r="G6" s="3">
        <v>207.36</v>
      </c>
      <c r="H6" s="3">
        <f t="shared" si="2"/>
        <v>228.09600000000003</v>
      </c>
      <c r="I6" s="3">
        <f t="shared" si="3"/>
        <v>248.83199999999999</v>
      </c>
      <c r="J6" s="4">
        <f t="shared" si="4"/>
        <v>0.19999999999999996</v>
      </c>
    </row>
    <row r="7" spans="2:10" x14ac:dyDescent="0.25">
      <c r="B7" t="s">
        <v>39</v>
      </c>
      <c r="C7" t="s">
        <v>17</v>
      </c>
      <c r="D7" t="s">
        <v>18</v>
      </c>
      <c r="E7" s="3">
        <f t="shared" si="0"/>
        <v>138.24</v>
      </c>
      <c r="F7" s="3">
        <f t="shared" si="1"/>
        <v>155.52000000000001</v>
      </c>
      <c r="G7" s="3">
        <v>172.8</v>
      </c>
      <c r="H7" s="3">
        <f t="shared" si="2"/>
        <v>190.08</v>
      </c>
      <c r="I7" s="3">
        <f t="shared" si="3"/>
        <v>207.36</v>
      </c>
      <c r="J7" s="4">
        <f t="shared" si="4"/>
        <v>0.20000000000000018</v>
      </c>
    </row>
    <row r="8" spans="2:10" x14ac:dyDescent="0.25">
      <c r="B8" t="s">
        <v>39</v>
      </c>
      <c r="C8" t="s">
        <v>23</v>
      </c>
      <c r="D8" t="s">
        <v>24</v>
      </c>
      <c r="E8" s="3">
        <f t="shared" si="0"/>
        <v>115.2</v>
      </c>
      <c r="F8" s="3">
        <f t="shared" si="1"/>
        <v>129.6</v>
      </c>
      <c r="G8" s="3">
        <v>144</v>
      </c>
      <c r="H8" s="3">
        <f t="shared" si="2"/>
        <v>158.4</v>
      </c>
      <c r="I8" s="3">
        <f t="shared" si="3"/>
        <v>172.8</v>
      </c>
      <c r="J8" s="4">
        <f t="shared" si="4"/>
        <v>0.19999999999999996</v>
      </c>
    </row>
    <row r="9" spans="2:10" x14ac:dyDescent="0.25">
      <c r="B9" t="s">
        <v>39</v>
      </c>
      <c r="C9" t="s">
        <v>27</v>
      </c>
      <c r="D9" t="s">
        <v>16</v>
      </c>
      <c r="E9" s="3">
        <f t="shared" si="0"/>
        <v>96</v>
      </c>
      <c r="F9" s="3">
        <f t="shared" si="1"/>
        <v>108</v>
      </c>
      <c r="G9" s="3">
        <v>120</v>
      </c>
      <c r="H9" s="3">
        <f t="shared" si="2"/>
        <v>132</v>
      </c>
      <c r="I9" s="3">
        <f t="shared" si="3"/>
        <v>144</v>
      </c>
      <c r="J9" s="4">
        <f t="shared" si="4"/>
        <v>0.19999999999999996</v>
      </c>
    </row>
    <row r="10" spans="2:10" x14ac:dyDescent="0.25">
      <c r="B10" t="s">
        <v>39</v>
      </c>
      <c r="C10" t="s">
        <v>29</v>
      </c>
      <c r="D10" t="s">
        <v>30</v>
      </c>
      <c r="E10" s="3">
        <f t="shared" si="0"/>
        <v>80</v>
      </c>
      <c r="F10" s="3">
        <f t="shared" si="1"/>
        <v>90</v>
      </c>
      <c r="G10" s="3">
        <v>100</v>
      </c>
      <c r="H10" s="3">
        <f t="shared" si="2"/>
        <v>110</v>
      </c>
      <c r="I10" s="3">
        <f t="shared" si="3"/>
        <v>120</v>
      </c>
      <c r="J10" s="4">
        <v>0</v>
      </c>
    </row>
    <row r="11" spans="2:10" x14ac:dyDescent="0.25">
      <c r="B11" t="s">
        <v>40</v>
      </c>
      <c r="C11" t="s">
        <v>6</v>
      </c>
      <c r="D11" t="s">
        <v>5</v>
      </c>
      <c r="E11" s="3">
        <f t="shared" si="0"/>
        <v>238.87872000000004</v>
      </c>
      <c r="F11" s="3">
        <f t="shared" si="1"/>
        <v>268.73856000000001</v>
      </c>
      <c r="G11" s="3">
        <v>298.59840000000003</v>
      </c>
      <c r="H11" s="3">
        <f t="shared" si="2"/>
        <v>328.45823999999999</v>
      </c>
      <c r="I11" s="3">
        <f t="shared" si="3"/>
        <v>358.31808000000007</v>
      </c>
      <c r="J11" s="4">
        <f t="shared" si="4"/>
        <v>0.19999999999999996</v>
      </c>
    </row>
    <row r="12" spans="2:10" x14ac:dyDescent="0.25">
      <c r="B12" t="s">
        <v>40</v>
      </c>
      <c r="C12" t="s">
        <v>10</v>
      </c>
      <c r="D12" t="s">
        <v>9</v>
      </c>
      <c r="E12" s="3">
        <f t="shared" si="0"/>
        <v>199.06560000000002</v>
      </c>
      <c r="F12" s="3">
        <f t="shared" si="1"/>
        <v>223.94880000000001</v>
      </c>
      <c r="G12" s="3">
        <v>248.83200000000002</v>
      </c>
      <c r="H12" s="3">
        <f t="shared" si="2"/>
        <v>273.71520000000004</v>
      </c>
      <c r="I12" s="3">
        <f t="shared" si="3"/>
        <v>298.59840000000003</v>
      </c>
      <c r="J12" s="4">
        <f t="shared" si="4"/>
        <v>0.19999999999999996</v>
      </c>
    </row>
    <row r="13" spans="2:10" x14ac:dyDescent="0.25">
      <c r="B13" t="s">
        <v>40</v>
      </c>
      <c r="C13" t="s">
        <v>14</v>
      </c>
      <c r="D13" t="s">
        <v>13</v>
      </c>
      <c r="E13" s="3">
        <f t="shared" si="0"/>
        <v>165.88800000000003</v>
      </c>
      <c r="F13" s="3">
        <f t="shared" si="1"/>
        <v>186.62400000000002</v>
      </c>
      <c r="G13" s="3">
        <v>207.36</v>
      </c>
      <c r="H13" s="3">
        <f t="shared" si="2"/>
        <v>228.09600000000003</v>
      </c>
      <c r="I13" s="3">
        <f t="shared" si="3"/>
        <v>248.83199999999999</v>
      </c>
      <c r="J13" s="4">
        <f t="shared" si="4"/>
        <v>0.19999999999999996</v>
      </c>
    </row>
    <row r="14" spans="2:10" x14ac:dyDescent="0.25">
      <c r="B14" t="s">
        <v>40</v>
      </c>
      <c r="C14" t="s">
        <v>19</v>
      </c>
      <c r="D14" t="s">
        <v>20</v>
      </c>
      <c r="E14" s="3">
        <f t="shared" si="0"/>
        <v>138.24</v>
      </c>
      <c r="F14" s="3">
        <f t="shared" si="1"/>
        <v>155.52000000000001</v>
      </c>
      <c r="G14" s="3">
        <v>172.8</v>
      </c>
      <c r="H14" s="3">
        <f t="shared" si="2"/>
        <v>190.08</v>
      </c>
      <c r="I14" s="3">
        <f t="shared" si="3"/>
        <v>207.36</v>
      </c>
      <c r="J14" s="4">
        <f t="shared" si="4"/>
        <v>0.20000000000000018</v>
      </c>
    </row>
    <row r="15" spans="2:10" x14ac:dyDescent="0.25">
      <c r="B15" t="s">
        <v>40</v>
      </c>
      <c r="C15" t="s">
        <v>25</v>
      </c>
      <c r="D15" t="s">
        <v>26</v>
      </c>
      <c r="E15" s="3">
        <f t="shared" si="0"/>
        <v>115.2</v>
      </c>
      <c r="F15" s="3">
        <f t="shared" si="1"/>
        <v>129.6</v>
      </c>
      <c r="G15" s="3">
        <v>144</v>
      </c>
      <c r="H15" s="3">
        <f t="shared" si="2"/>
        <v>158.4</v>
      </c>
      <c r="I15" s="3">
        <f t="shared" si="3"/>
        <v>172.8</v>
      </c>
      <c r="J15" s="4">
        <f t="shared" si="4"/>
        <v>0.19999999999999996</v>
      </c>
    </row>
    <row r="16" spans="2:10" x14ac:dyDescent="0.25">
      <c r="B16" t="s">
        <v>40</v>
      </c>
      <c r="C16" t="s">
        <v>28</v>
      </c>
      <c r="D16" t="s">
        <v>34</v>
      </c>
      <c r="E16" s="3">
        <f t="shared" si="0"/>
        <v>96</v>
      </c>
      <c r="F16" s="3">
        <f t="shared" si="1"/>
        <v>108</v>
      </c>
      <c r="G16" s="3">
        <v>120</v>
      </c>
      <c r="H16" s="3">
        <f t="shared" si="2"/>
        <v>132</v>
      </c>
      <c r="I16" s="3">
        <f t="shared" si="3"/>
        <v>144</v>
      </c>
      <c r="J16" s="4">
        <f t="shared" si="4"/>
        <v>0.19999999999999996</v>
      </c>
    </row>
    <row r="17" spans="2:10" x14ac:dyDescent="0.25">
      <c r="B17" t="s">
        <v>40</v>
      </c>
      <c r="C17" t="s">
        <v>31</v>
      </c>
      <c r="D17" t="s">
        <v>32</v>
      </c>
      <c r="E17" s="3">
        <f t="shared" si="0"/>
        <v>80</v>
      </c>
      <c r="F17" s="3">
        <f t="shared" si="1"/>
        <v>90</v>
      </c>
      <c r="G17" s="3">
        <v>100</v>
      </c>
      <c r="H17" s="3">
        <f t="shared" si="2"/>
        <v>110</v>
      </c>
      <c r="I17" s="3">
        <f t="shared" si="3"/>
        <v>120</v>
      </c>
      <c r="J17" s="4">
        <v>0</v>
      </c>
    </row>
    <row r="18" spans="2:10" x14ac:dyDescent="0.25">
      <c r="B18" t="s">
        <v>39</v>
      </c>
      <c r="C18" t="s">
        <v>42</v>
      </c>
      <c r="D18" t="s">
        <v>9</v>
      </c>
      <c r="E18" s="3">
        <f t="shared" si="0"/>
        <v>165.88800000000003</v>
      </c>
      <c r="F18" s="3">
        <f t="shared" si="1"/>
        <v>186.62400000000002</v>
      </c>
      <c r="G18" s="3">
        <v>207.36</v>
      </c>
      <c r="H18" s="3">
        <f t="shared" si="2"/>
        <v>228.09600000000003</v>
      </c>
      <c r="I18" s="3">
        <f t="shared" si="3"/>
        <v>248.83199999999999</v>
      </c>
      <c r="J18" s="4">
        <f>G18/G19-1</f>
        <v>0.19999999999999996</v>
      </c>
    </row>
    <row r="19" spans="2:10" x14ac:dyDescent="0.25">
      <c r="B19" t="s">
        <v>39</v>
      </c>
      <c r="C19" t="s">
        <v>43</v>
      </c>
      <c r="D19" t="s">
        <v>7</v>
      </c>
      <c r="E19" s="3">
        <f t="shared" si="0"/>
        <v>138.24</v>
      </c>
      <c r="F19" s="3">
        <f t="shared" si="1"/>
        <v>155.52000000000001</v>
      </c>
      <c r="G19" s="3">
        <v>172.8</v>
      </c>
      <c r="H19" s="3">
        <f t="shared" si="2"/>
        <v>190.08</v>
      </c>
      <c r="I19" s="3">
        <f t="shared" si="3"/>
        <v>207.36</v>
      </c>
      <c r="J19" s="4">
        <f>G19/G20-1</f>
        <v>0.20000000000000018</v>
      </c>
    </row>
    <row r="20" spans="2:10" x14ac:dyDescent="0.25">
      <c r="B20" t="s">
        <v>39</v>
      </c>
      <c r="C20" t="s">
        <v>44</v>
      </c>
      <c r="D20" t="s">
        <v>15</v>
      </c>
      <c r="E20" s="3">
        <f t="shared" si="0"/>
        <v>115.2</v>
      </c>
      <c r="F20" s="3">
        <f t="shared" si="1"/>
        <v>129.6</v>
      </c>
      <c r="G20" s="3">
        <v>144</v>
      </c>
      <c r="H20" s="3">
        <f t="shared" si="2"/>
        <v>158.4</v>
      </c>
      <c r="I20" s="3">
        <f t="shared" si="3"/>
        <v>172.8</v>
      </c>
      <c r="J20" s="4">
        <f>G20/G21-1</f>
        <v>0.19999999999999996</v>
      </c>
    </row>
    <row r="21" spans="2:10" x14ac:dyDescent="0.25">
      <c r="B21" t="s">
        <v>39</v>
      </c>
      <c r="C21" t="s">
        <v>45</v>
      </c>
      <c r="D21" t="s">
        <v>21</v>
      </c>
      <c r="E21" s="3">
        <f t="shared" si="0"/>
        <v>96</v>
      </c>
      <c r="F21" s="3">
        <f t="shared" si="1"/>
        <v>108</v>
      </c>
      <c r="G21" s="3">
        <v>120</v>
      </c>
      <c r="H21" s="3">
        <f t="shared" si="2"/>
        <v>132</v>
      </c>
      <c r="I21" s="3">
        <f t="shared" si="3"/>
        <v>144</v>
      </c>
      <c r="J21" s="4">
        <f>G21/G22-1</f>
        <v>0.19999999999999996</v>
      </c>
    </row>
    <row r="22" spans="2:10" x14ac:dyDescent="0.25">
      <c r="B22" t="s">
        <v>39</v>
      </c>
      <c r="C22" t="s">
        <v>46</v>
      </c>
      <c r="D22" t="s">
        <v>35</v>
      </c>
      <c r="E22" s="3">
        <f t="shared" si="0"/>
        <v>80</v>
      </c>
      <c r="F22" s="3">
        <f t="shared" si="1"/>
        <v>90</v>
      </c>
      <c r="G22" s="3">
        <v>100</v>
      </c>
      <c r="H22" s="3">
        <f t="shared" si="2"/>
        <v>110</v>
      </c>
      <c r="I22" s="3">
        <f t="shared" si="3"/>
        <v>120</v>
      </c>
      <c r="J22" s="4">
        <v>0</v>
      </c>
    </row>
    <row r="23" spans="2:10" x14ac:dyDescent="0.25">
      <c r="B23" t="s">
        <v>41</v>
      </c>
      <c r="C23" t="s">
        <v>47</v>
      </c>
      <c r="D23" t="s">
        <v>7</v>
      </c>
      <c r="E23" s="3">
        <f t="shared" si="0"/>
        <v>1120</v>
      </c>
      <c r="F23" s="3">
        <f t="shared" si="1"/>
        <v>1260</v>
      </c>
      <c r="G23" s="3">
        <v>1400</v>
      </c>
      <c r="H23" s="3">
        <f t="shared" si="2"/>
        <v>1540</v>
      </c>
      <c r="I23" s="3">
        <f t="shared" si="3"/>
        <v>1680</v>
      </c>
      <c r="J23" s="4">
        <f>G23/G24-1</f>
        <v>1.4347826086956523</v>
      </c>
    </row>
    <row r="24" spans="2:10" x14ac:dyDescent="0.25">
      <c r="B24" t="s">
        <v>41</v>
      </c>
      <c r="C24" t="s">
        <v>48</v>
      </c>
      <c r="D24" t="s">
        <v>11</v>
      </c>
      <c r="E24" s="3">
        <f t="shared" si="0"/>
        <v>460</v>
      </c>
      <c r="F24" s="3">
        <f t="shared" si="1"/>
        <v>517.5</v>
      </c>
      <c r="G24" s="3">
        <v>575</v>
      </c>
      <c r="H24" s="3">
        <f t="shared" si="2"/>
        <v>632.5</v>
      </c>
      <c r="I24" s="3">
        <f t="shared" si="3"/>
        <v>690</v>
      </c>
      <c r="J24" s="4">
        <f>G24/G25-1</f>
        <v>0.21052631578947367</v>
      </c>
    </row>
    <row r="25" spans="2:10" x14ac:dyDescent="0.25">
      <c r="B25" t="s">
        <v>41</v>
      </c>
      <c r="C25" t="s">
        <v>49</v>
      </c>
      <c r="D25" t="s">
        <v>16</v>
      </c>
      <c r="E25" s="3">
        <f t="shared" si="0"/>
        <v>380</v>
      </c>
      <c r="F25" s="3">
        <f t="shared" si="1"/>
        <v>427.5</v>
      </c>
      <c r="G25" s="3">
        <v>475</v>
      </c>
      <c r="H25" s="3">
        <f t="shared" si="2"/>
        <v>522.5</v>
      </c>
      <c r="I25" s="3">
        <f t="shared" si="3"/>
        <v>570</v>
      </c>
      <c r="J25" s="4">
        <f>G25/G26-1</f>
        <v>0.18453865336658359</v>
      </c>
    </row>
    <row r="26" spans="2:10" x14ac:dyDescent="0.25">
      <c r="B26" t="s">
        <v>41</v>
      </c>
      <c r="C26" t="s">
        <v>50</v>
      </c>
      <c r="D26" t="s">
        <v>22</v>
      </c>
      <c r="E26" s="3">
        <f t="shared" si="0"/>
        <v>320.8</v>
      </c>
      <c r="F26" s="3">
        <f t="shared" si="1"/>
        <v>360.9</v>
      </c>
      <c r="G26" s="3">
        <v>401</v>
      </c>
      <c r="H26" s="3">
        <f t="shared" si="2"/>
        <v>441.1</v>
      </c>
      <c r="I26" s="3">
        <f t="shared" si="3"/>
        <v>481.2</v>
      </c>
      <c r="J26" s="4">
        <v>0</v>
      </c>
    </row>
    <row r="27" spans="2:10" x14ac:dyDescent="0.25">
      <c r="B27" t="s">
        <v>39</v>
      </c>
      <c r="C27" t="s">
        <v>51</v>
      </c>
      <c r="D27" t="s">
        <v>33</v>
      </c>
      <c r="E27" s="3">
        <f t="shared" si="0"/>
        <v>148</v>
      </c>
      <c r="F27" s="3">
        <f t="shared" si="1"/>
        <v>166.5</v>
      </c>
      <c r="G27" s="3">
        <v>185</v>
      </c>
      <c r="H27" s="3">
        <f t="shared" si="2"/>
        <v>203.5</v>
      </c>
      <c r="I27" s="3">
        <f t="shared" si="3"/>
        <v>222</v>
      </c>
      <c r="J27" s="4">
        <v>0</v>
      </c>
    </row>
    <row r="28" spans="2:10" x14ac:dyDescent="0.25">
      <c r="B28" t="s">
        <v>39</v>
      </c>
      <c r="C28" t="s">
        <v>52</v>
      </c>
      <c r="D28" t="s">
        <v>36</v>
      </c>
      <c r="E28" s="3">
        <f t="shared" si="0"/>
        <v>40</v>
      </c>
      <c r="F28" s="3">
        <f t="shared" si="1"/>
        <v>45</v>
      </c>
      <c r="G28" s="3">
        <v>50</v>
      </c>
      <c r="H28" s="3">
        <f t="shared" si="2"/>
        <v>55</v>
      </c>
      <c r="I28" s="3">
        <f t="shared" si="3"/>
        <v>60</v>
      </c>
      <c r="J28" s="4">
        <v>0</v>
      </c>
    </row>
    <row r="29" spans="2:10" x14ac:dyDescent="0.25">
      <c r="B29" t="s">
        <v>39</v>
      </c>
      <c r="C29" t="s">
        <v>53</v>
      </c>
      <c r="D29" t="s">
        <v>37</v>
      </c>
      <c r="E29" s="3">
        <f t="shared" si="0"/>
        <v>0.31200000000000006</v>
      </c>
      <c r="F29" s="3">
        <f t="shared" si="1"/>
        <v>0.35100000000000003</v>
      </c>
      <c r="G29" s="3">
        <v>0.39</v>
      </c>
      <c r="H29" s="3">
        <f t="shared" si="2"/>
        <v>0.42899999999999999</v>
      </c>
      <c r="I29" s="3">
        <f t="shared" si="3"/>
        <v>0.46800000000000003</v>
      </c>
      <c r="J2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TabuladorEmpresas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Albin Suárez</dc:creator>
  <cp:lastModifiedBy>Albin Suárez</cp:lastModifiedBy>
  <dcterms:created xsi:type="dcterms:W3CDTF">2026-08-14T14:45:37Z</dcterms:created>
  <dcterms:modified xsi:type="dcterms:W3CDTF">2026-08-14T15:02:39Z</dcterms:modified>
</cp:coreProperties>
</file>